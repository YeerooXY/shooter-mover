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f959b8e9daac466c"/>
    <x:sheet xmlns:r="http://schemas.openxmlformats.org/officeDocument/2006/relationships" name="Design Notes" sheetId="2" r:id="Rdb9a14cb58cb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"/>
    <x:numFmt numFmtId="202" formatCode="#,##0.00"/>
    <x:numFmt numFmtId="203" formatCode="0.00"/>
    <x:numFmt numFmtId="204" formatCode="0.000"/>
    <x:numFmt numFmtId="205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CE6F1"/>
      </x:patternFill>
    </x:fill>
    <x:fill>
      <x:patternFill patternType="solid">
        <x:fgColor rgb="FF334155"/>
      </x:patternFill>
    </x:fill>
    <x:fill>
      <x:patternFill patternType="solid">
        <x:fgColor rgb="FFD1FAE5"/>
      </x:patternFill>
    </x:fill>
    <x:fill>
      <x:patternFill patternType="solid">
        <x:fgColor rgb="FFFFF7CC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0" borderId="0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7036c142542fd" /><Relationship Type="http://schemas.openxmlformats.org/officeDocument/2006/relationships/theme" Target="/xl/theme/theme1.xml" Id="R63ec58aeb725437f" /><Relationship Type="http://schemas.openxmlformats.org/officeDocument/2006/relationships/sharedStrings" Target="/xl/sharedStrings.xml" Id="R4bba7cb731ce4b3a" /><Relationship Type="http://schemas.openxmlformats.org/officeDocument/2006/relationships/worksheet" Target="/xl/worksheets/sheet1.xml" Id="Rf959b8e9daac466c" /><Relationship Type="http://schemas.openxmlformats.org/officeDocument/2006/relationships/worksheet" Target="/xl/worksheets/sheet2.xml" Id="Rdb9a14cb58cb43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20" hidden="0" customWidth="1"/>
  </x:cols>
  <x:sheetData>
    <x:row r="1" ht="28" customHeight="1">
      <x:c r="A1" s="5" t="str">
        <x:v>Artifact Sniper Balance Calculator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7" t="str">
        <x:v>Editable Input</x:v>
      </x:c>
      <x:c r="B3" s="17" t="str">
        <x:v>Value</x:v>
      </x:c>
      <x:c r="D3" s="17" t="str">
        <x:v>Derived Metric</x:v>
      </x:c>
      <x:c r="E3" s="17" t="str">
        <x:v>Result</x:v>
      </x:c>
    </x:row>
    <x:row r="4">
      <x:c r="A4" s="10" t="str">
        <x:v>Boss starting HP</x:v>
      </x:c>
      <x:c r="B4" s="41" t="n">
        <x:v>1000000</x:v>
      </x:c>
      <x:c r="D4" s="10" t="str">
        <x:v>Normal damage per shot</x:v>
      </x:c>
      <x:c r="E4" s="45" t="n">
        <x:f>$B$6/$B$7</x:f>
        <x:v>25000</x:v>
      </x:c>
    </x:row>
    <x:row r="5">
      <x:c r="A5" s="10" t="str">
        <x:v>Weapon slots</x:v>
      </x:c>
      <x:c r="B5" s="41" t="n">
        <x:v>4</x:v>
      </x:c>
      <x:c r="D5" s="10" t="str">
        <x:v>Artifact flat damage per shot</x:v>
      </x:c>
      <x:c r="E5" s="45" t="n">
        <x:f>$B$8/$B$7</x:f>
        <x:v>12500</x:v>
      </x:c>
    </x:row>
    <x:row r="6">
      <x:c r="A6" s="10" t="str">
        <x:v>Normal weapon DPS</x:v>
      </x:c>
      <x:c r="B6" s="41" t="n">
        <x:v>100000</x:v>
      </x:c>
      <x:c r="D6" s="10" t="str">
        <x:v>Uncapped crossover HP</x:v>
      </x:c>
      <x:c r="E6" s="45" t="n">
        <x:f>($B$6-$B$8)/($B$7*$B$9)</x:f>
        <x:v>312500</x:v>
      </x:c>
    </x:row>
    <x:row r="7">
      <x:c r="A7" s="10" t="str">
        <x:v>Artifact fire rate (shots/s)</x:v>
      </x:c>
      <x:c r="B7" s="41" t="n">
        <x:v>4</x:v>
      </x:c>
      <x:c r="D7" s="10" t="str">
        <x:v>Crossover share of boss HP</x:v>
      </x:c>
      <x:c r="E7" s="47" t="n">
        <x:f>E6/$B$4</x:f>
        <x:v>0.3125</x:v>
      </x:c>
    </x:row>
    <x:row r="8">
      <x:c r="A8" s="10" t="str">
        <x:v>Artifact flat DPS</x:v>
      </x:c>
      <x:c r="B8" s="41" t="n">
        <x:v>50000</x:v>
      </x:c>
      <x:c r="D8" s="10" t="str">
        <x:v>Artifact full-HP DPS</x:v>
      </x:c>
      <x:c r="E8" s="49" t="n">
        <x:f>$B$8+$B$7*MIN($B$9*$B$4,$B$10)</x:f>
        <x:v>210000</x:v>
      </x:c>
    </x:row>
    <x:row r="9">
      <x:c r="A9" s="10" t="str">
        <x:v>Current-HP fraction per shot</x:v>
      </x:c>
      <x:c r="B9" s="43" t="n">
        <x:v>0.04</x:v>
      </x:c>
      <x:c r="D9" s="10" t="str">
        <x:v>Artifact DPS at crossover</x:v>
      </x:c>
      <x:c r="E9" s="49" t="n">
        <x:f>$B$8+$B$7*MIN($B$9*E6,$B$10)</x:f>
        <x:v>100000</x:v>
      </x:c>
    </x:row>
    <x:row r="10">
      <x:c r="A10" s="10" t="str">
        <x:v>Percentage-damage cap per shot</x:v>
      </x:c>
      <x:c r="B10" s="41" t="n">
        <x:v>40000</x:v>
      </x:c>
      <x:c r="D10" s="10" t="str">
        <x:v>Four-normal baseline TTK</x:v>
      </x:c>
      <x:c r="E10" s="51" t="n">
        <x:f>$B$4/($B$5*$B$6)</x:f>
        <x:v>2.5</x:v>
      </x:c>
    </x:row>
    <x:row r="13" ht="34" customHeight="1">
      <x:c r="A13" s="26" t="str">
        <x:v>Artifacts</x:v>
      </x:c>
      <x:c r="B13" s="26" t="str">
        <x:v>Normals</x:v>
      </x:c>
      <x:c r="C13" s="26" t="str">
        <x:v>Flat DPS</x:v>
      </x:c>
      <x:c r="D13" s="26" t="str">
        <x:v>Start DPS</x:v>
      </x:c>
      <x:c r="E13" s="26" t="str">
        <x:v>DPS @ 50% HP</x:v>
      </x:c>
      <x:c r="F13" s="26" t="str">
        <x:v>DPS @ 25% HP</x:v>
      </x:c>
      <x:c r="G13" s="26" t="str">
        <x:v>Continuous TTK (s)</x:v>
      </x:c>
      <x:c r="H13" s="26" t="str">
        <x:v>Gain vs 4 normals</x:v>
      </x:c>
      <x:c r="I13" s="26" t="str">
        <x:v>Exact volley TTK (s)</x:v>
      </x:c>
    </x:row>
    <x:row r="14">
      <x:c r="A14" s="40" t="n">
        <x:v>0</x:v>
      </x:c>
      <x:c r="B14" s="40" t="n">
        <x:f>$B$5-A14</x:f>
        <x:v>4</x:v>
      </x:c>
      <x:c r="C14" s="49" t="n">
        <x:f>B14*$B$6+A14*$B$8</x:f>
        <x:v>400000</x:v>
      </x:c>
      <x:c r="D14" s="49" t="n">
        <x:f>C14+$B$7*A14*MIN($B$9*$B$4,$B$10)</x:f>
        <x:v>400000</x:v>
      </x:c>
      <x:c r="E14" s="49" t="n">
        <x:f>C14+$B$7*A14*MIN($B$9*($B$4*0.5),$B$10)</x:f>
        <x:v>400000</x:v>
      </x:c>
      <x:c r="F14" s="49" t="n">
        <x:f>C14+$B$7*A14*MIN($B$9*($B$4*0.25),$B$10)</x:f>
        <x:v>400000</x:v>
      </x:c>
      <x:c r="G14" s="53" t="n">
        <x:f>IF(A14=0,$B$4/C14,LN(1+($B$7*$B$9*A14)*$B$4/C14)/($B$7*$B$9*A14))</x:f>
        <x:v>2.5</x:v>
      </x:c>
      <x:c r="H14" s="55" t="n">
        <x:f>$E$10/G14-1</x:f>
        <x:v>0</x:v>
      </x:c>
      <x:c r="I14" s="53" t="n">
        <x:f>IF(A14=0,CEILING($B$4/(C14/$B$7),1)/$B$7,CEILING(LN((C14/$B$7)/((C14/$B$7)+($B$9*A14)*$B$4))/LN(1-$B$9*A14),1)/$B$7)</x:f>
        <x:v>2.5</x:v>
      </x:c>
    </x:row>
    <x:row r="15">
      <x:c r="A15" s="40" t="n">
        <x:v>1</x:v>
      </x:c>
      <x:c r="B15" s="40" t="n">
        <x:f>$B$5-A15</x:f>
        <x:v>3</x:v>
      </x:c>
      <x:c r="C15" s="49" t="n">
        <x:f>B15*$B$6+A15*$B$8</x:f>
        <x:v>350000</x:v>
      </x:c>
      <x:c r="D15" s="49" t="n">
        <x:f>C15+$B$7*A15*MIN($B$9*$B$4,$B$10)</x:f>
        <x:v>510000</x:v>
      </x:c>
      <x:c r="E15" s="49" t="n">
        <x:f>C15+$B$7*A15*MIN($B$9*($B$4*0.5),$B$10)</x:f>
        <x:v>430000</x:v>
      </x:c>
      <x:c r="F15" s="49" t="n">
        <x:f>C15+$B$7*A15*MIN($B$9*($B$4*0.25),$B$10)</x:f>
        <x:v>390000</x:v>
      </x:c>
      <x:c r="G15" s="53" t="n">
        <x:f>IF(A15=0,$B$4/C15,LN(1+($B$7*$B$9*A15)*$B$4/C15)/($B$7*$B$9*A15))</x:f>
        <x:v>2.3529848202182</x:v>
      </x:c>
      <x:c r="H15" s="55" t="n">
        <x:f>$E$10/G15-1</x:f>
        <x:v>0.0624802924857657</x:v>
      </x:c>
      <x:c r="I15" s="53" t="n">
        <x:f>IF(A15=0,CEILING($B$4/(C15/$B$7),1)/$B$7,CEILING(LN((C15/$B$7)/((C15/$B$7)+($B$9*A15)*$B$4))/LN(1-$B$9*A15),1)/$B$7)</x:f>
        <x:v>2.5</x:v>
      </x:c>
    </x:row>
    <x:row r="16">
      <x:c r="A16" s="40" t="n">
        <x:v>2</x:v>
      </x:c>
      <x:c r="B16" s="40" t="n">
        <x:f>$B$5-A16</x:f>
        <x:v>2</x:v>
      </x:c>
      <x:c r="C16" s="49" t="n">
        <x:f>B16*$B$6+A16*$B$8</x:f>
        <x:v>300000</x:v>
      </x:c>
      <x:c r="D16" s="49" t="n">
        <x:f>C16+$B$7*A16*MIN($B$9*$B$4,$B$10)</x:f>
        <x:v>620000</x:v>
      </x:c>
      <x:c r="E16" s="49" t="n">
        <x:f>C16+$B$7*A16*MIN($B$9*($B$4*0.5),$B$10)</x:f>
        <x:v>460000</x:v>
      </x:c>
      <x:c r="F16" s="49" t="n">
        <x:f>C16+$B$7*A16*MIN($B$9*($B$4*0.25),$B$10)</x:f>
        <x:v>380000</x:v>
      </x:c>
      <x:c r="G16" s="53" t="n">
        <x:f>IF(A16=0,$B$4/C16,LN(1+($B$7*$B$9*A16)*$B$4/C16)/($B$7*$B$9*A16))</x:f>
        <x:v>2.268553135571675</x:v>
      </x:c>
      <x:c r="H16" s="55" t="n">
        <x:f>$E$10/G16-1</x:f>
        <x:v>0.10202399970234799</x:v>
      </x:c>
      <x:c r="I16" s="53" t="n">
        <x:f>IF(A16=0,CEILING($B$4/(C16/$B$7),1)/$B$7,CEILING(LN((C16/$B$7)/((C16/$B$7)+($B$9*A16)*$B$4))/LN(1-$B$9*A16),1)/$B$7)</x:f>
        <x:v>2.25</x:v>
      </x:c>
    </x:row>
    <x:row r="17">
      <x:c r="A17" s="40" t="n">
        <x:v>3</x:v>
      </x:c>
      <x:c r="B17" s="40" t="n">
        <x:f>$B$5-A17</x:f>
        <x:v>1</x:v>
      </x:c>
      <x:c r="C17" s="49" t="n">
        <x:f>B17*$B$6+A17*$B$8</x:f>
        <x:v>250000</x:v>
      </x:c>
      <x:c r="D17" s="49" t="n">
        <x:f>C17+$B$7*A17*MIN($B$9*$B$4,$B$10)</x:f>
        <x:v>730000</x:v>
      </x:c>
      <x:c r="E17" s="49" t="n">
        <x:f>C17+$B$7*A17*MIN($B$9*($B$4*0.5),$B$10)</x:f>
        <x:v>490000</x:v>
      </x:c>
      <x:c r="F17" s="49" t="n">
        <x:f>C17+$B$7*A17*MIN($B$9*($B$4*0.25),$B$10)</x:f>
        <x:v>370000</x:v>
      </x:c>
      <x:c r="G17" s="53" t="n">
        <x:f>IF(A17=0,$B$4/C17,LN(1+($B$7*$B$9*A17)*$B$4/C17)/($B$7*$B$9*A17))</x:f>
        <x:v>2.2324658672503968</x:v>
      </x:c>
      <x:c r="H17" s="55" t="n">
        <x:f>$E$10/G17-1</x:f>
        <x:v>0.11983794989847252</x:v>
      </x:c>
      <x:c r="I17" s="53" t="n">
        <x:f>IF(A17=0,CEILING($B$4/(C17/$B$7),1)/$B$7,CEILING(LN((C17/$B$7)/((C17/$B$7)+($B$9*A17)*$B$4))/LN(1-$B$9*A17),1)/$B$7)</x:f>
        <x:v>2.25</x:v>
      </x:c>
    </x:row>
    <x:row r="18">
      <x:c r="A18" s="40" t="n">
        <x:v>4</x:v>
      </x:c>
      <x:c r="B18" s="40" t="n">
        <x:f>$B$5-A18</x:f>
        <x:v>0</x:v>
      </x:c>
      <x:c r="C18" s="49" t="n">
        <x:f>B18*$B$6+A18*$B$8</x:f>
        <x:v>200000</x:v>
      </x:c>
      <x:c r="D18" s="49" t="n">
        <x:f>C18+$B$7*A18*MIN($B$9*$B$4,$B$10)</x:f>
        <x:v>840000</x:v>
      </x:c>
      <x:c r="E18" s="49" t="n">
        <x:f>C18+$B$7*A18*MIN($B$9*($B$4*0.5),$B$10)</x:f>
        <x:v>520000</x:v>
      </x:c>
      <x:c r="F18" s="49" t="n">
        <x:f>C18+$B$7*A18*MIN($B$9*($B$4*0.25),$B$10)</x:f>
        <x:v>360000</x:v>
      </x:c>
      <x:c r="G18" s="53" t="n">
        <x:f>IF(A18=0,$B$4/C18,LN(1+($B$7*$B$9*A18)*$B$4/C18)/($B$7*$B$9*A18))</x:f>
        <x:v>2.242319570764567</x:v>
      </x:c>
      <x:c r="H18" s="55" t="n">
        <x:f>$E$10/G18-1</x:f>
        <x:v>0.11491690684730171</x:v>
      </x:c>
      <x:c r="I18" s="53" t="n">
        <x:f>IF(A18=0,CEILING($B$4/(C18/$B$7),1)/$B$7,CEILING(LN((C18/$B$7)/((C18/$B$7)+($B$9*A18)*$B$4))/LN(1-$B$9*A18),1)/$B$7)</x:f>
        <x:v>2.25</x:v>
      </x:c>
    </x:row>
    <x:row r="21">
      <x:c r="A21" s="34" t="str">
        <x:v>Recommended launch specification</x:v>
      </x:c>
      <x:c r="B21" s="34"/>
      <x:c r="C21" s="34"/>
    </x:row>
    <x:row r="22">
      <x:c r="A22" s="10" t="str">
        <x:v>Flat damage / shot</x:v>
      </x:c>
      <x:c r="B22"/>
      <x:c r="C22" s="12" t="str">
        <x:v>12,500</x:v>
      </x:c>
    </x:row>
    <x:row r="23">
      <x:c r="A23" s="10" t="str">
        <x:v>Current-health damage</x:v>
      </x:c>
      <x:c r="B23"/>
      <x:c r="C23" s="12" t="str">
        <x:v>4% per shot</x:v>
      </x:c>
    </x:row>
    <x:row r="24">
      <x:c r="A24" s="10" t="str">
        <x:v>Per-shot cap</x:v>
      </x:c>
      <x:c r="B24"/>
      <x:c r="C24" s="12" t="str">
        <x:v>40,000</x:v>
      </x:c>
    </x:row>
    <x:row r="25">
      <x:c r="A25" s="10" t="str">
        <x:v>Intended role</x:v>
      </x:c>
      <x:c r="B25"/>
      <x:c r="C25" s="12" t="str">
        <x:v>Boss opener / specialist</x:v>
      </x:c>
    </x:row>
  </x:sheetData>
  <x:mergeCells>
    <x:mergeCell ref="A1:I1"/>
    <x:mergeCell ref="A21:C21"/>
  </x:mergeCells>
  <x:conditionalFormatting sqref="A14:I18">
    <x:cfRule type="expression" dxfId="0" priority="1">
      <x:formula>$A14=3</x:formula>
    </x:cfRule>
  </x:conditionalFormatting>
  <x:conditionalFormatting sqref="H14:H18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{82C02D29-F3EB-06AC-9DCD-4E6E45AB5FE9}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82C02D29-F3EB-06AC-9DCD-4E6E45AB5FE9}">
            <x14:dataBar gradient="1">
              <x14:cfvo type="min"/>
              <x14:cfvo type="max"/>
              <x14:fillColor rgb="FF4F81BD"/>
            </x14:dataBar>
          </x14:cfRule>
          <xm:sqref>H14:H18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43" hidden="0" customWidth="1"/>
    <x:col min="4" max="4" width="40" hidden="0" customWidth="1"/>
  </x:cols>
  <x:sheetData>
    <x:row r="1">
      <x:c r="A1" s="4" t="str">
        <x:v>Artifact Sniper Design Notes</x:v>
      </x:c>
      <x:c r="B1" s="4"/>
      <x:c r="C1" s="4"/>
      <x:c r="D1" s="4"/>
    </x:row>
    <x:row r="3">
      <x:c r="A3" s="25" t="str">
        <x:v>Topic</x:v>
      </x:c>
      <x:c r="B3" s="25" t="str">
        <x:v>Formula / rule</x:v>
      </x:c>
      <x:c r="C3" s="25" t="str">
        <x:v>Purpose</x:v>
      </x:c>
      <x:c r="D3" s="25" t="str">
        <x:v>Launch guidance</x:v>
      </x:c>
    </x:row>
    <x:row r="4" ht="42" customHeight="1">
      <x:c r="A4" s="59" t="str">
        <x:v>Per-shot damage</x:v>
      </x:c>
      <x:c r="B4" s="57" t="str">
        <x:v>flat damage + MIN(p × current HP, cap)</x:v>
      </x:c>
      <x:c r="C4" s="57" t="str">
        <x:v>Front-loads damage and naturally weakens near death.</x:v>
      </x:c>
      <x:c r="D4" s="57" t="str">
        <x:v>12,500 flat + 4% current HP, capped at 40,000.</x:v>
      </x:c>
    </x:row>
    <x:row r="5" ht="42" customHeight="1">
      <x:c r="A5" s="59" t="str">
        <x:v>One-artifact DPS</x:v>
      </x:c>
      <x:c r="B5" s="57" t="str">
        <x:v>B + r × MIN(pH, cap)</x:v>
      </x:c>
      <x:c r="C5" s="57" t="str">
        <x:v>Shows how the weapon scales at any target health.</x:v>
      </x:c>
      <x:c r="D5" s="57" t="str">
        <x:v>B = 50,000 flat DPS; r = 4.</x:v>
      </x:c>
    </x:row>
    <x:row r="6" ht="42" customHeight="1">
      <x:c r="A6" s="59" t="str">
        <x:v>Crossover HP</x:v>
      </x:c>
      <x:c r="B6" s="57" t="str">
        <x:v>(normal DPS − artifact flat DPS) / (r × p)</x:v>
      </x:c>
      <x:c r="C6" s="57" t="str">
        <x:v>Above this HP the artifact beats one normal gun; below it the normal gun wins.</x:v>
      </x:c>
      <x:c r="D6" s="57" t="str">
        <x:v>312,500 HP before cap interactions.</x:v>
      </x:c>
    </x:row>
    <x:row r="7" ht="42" customHeight="1">
      <x:c r="A7" s="59" t="str">
        <x:v>k-artifact loadout DPS</x:v>
      </x:c>
      <x:c r="B7" s="57" t="str">
        <x:v>(slots−k)D + kB + kr × MIN(pH, cap)</x:v>
      </x:c>
      <x:c r="C7" s="57" t="str">
        <x:v>Compares all four-slot combinations at the same current HP.</x:v>
      </x:c>
      <x:c r="D7" s="57" t="str">
        <x:v>Target 2–3 artifacts as comfortable boss builds.</x:v>
      </x:c>
    </x:row>
    <x:row r="8" ht="42" customHeight="1">
      <x:c r="A8" s="59" t="str">
        <x:v>Continuous TTK</x:v>
      </x:c>
      <x:c r="B8" s="57" t="str">
        <x:v>ln(1 + krpH0/F) / (krp)</x:v>
      </x:c>
      <x:c r="C8" s="57" t="str">
        <x:v>Approximates uncapped current-health damage over time.</x:v>
      </x:c>
      <x:c r="D8" s="57" t="str">
        <x:v>Use simulation when the cap is active.</x:v>
      </x:c>
    </x:row>
    <x:row r="9" ht="42" customHeight="1">
      <x:c r="A9" s="59" t="str">
        <x:v>Discrete volleys</x:v>
      </x:c>
      <x:c r="B9" s="57" t="str">
        <x:v>ceil[ ln(q/(q+aH0)) / ln(1−a) ]</x:v>
      </x:c>
      <x:c r="C9" s="57" t="str">
        <x:v>Models synchronized shots when percentage damage is uncapped.</x:v>
      </x:c>
      <x:c r="D9" s="57" t="str">
        <x:v>Calculate all weapons from pre-volley HP.</x:v>
      </x:c>
    </x:row>
    <x:row r="10" ht="42" customHeight="1">
      <x:c r="A10" s="59" t="str">
        <x:v>Boss niche</x:v>
      </x:c>
      <x:c r="B10" s="57" t="str">
        <x:v>Strong at high HP; weak at low HP</x:v>
      </x:c>
      <x:c r="C10" s="57" t="str">
        <x:v>Keeps the artifact special without making it universal best-in-slot.</x:v>
      </x:c>
      <x:c r="D10" s="57" t="str">
        <x:v>Aim for 5–12% benchmark boss TTK advantage.</x:v>
      </x:c>
    </x:row>
    <x:row r="11" ht="42" customHeight="1">
      <x:c r="A11" s="59" t="str">
        <x:v>Ordinary enemies</x:v>
      </x:c>
      <x:c r="B11" s="57" t="str">
        <x:v>Cap and crossover should limit value</x:v>
      </x:c>
      <x:c r="C11" s="57" t="str">
        <x:v>Prevents the artifact from dominating regular rooms.</x:v>
      </x:c>
      <x:c r="D11" s="57" t="str">
        <x:v>Common mobs should usually start below crossover HP.</x:v>
      </x:c>
    </x:row>
    <x:row r="12" ht="42" customHeight="1">
      <x:c r="A12" s="59" t="str">
        <x:v>Critical hits</x:v>
      </x:c>
      <x:c r="B12" s="57" t="str">
        <x:v>Crit only the flat component</x:v>
      </x:c>
      <x:c r="C12" s="57" t="str">
        <x:v>Avoids multiplicative scaling of boss-health damage.</x:v>
      </x:c>
      <x:c r="D12" s="57" t="str">
        <x:v>Do not crit the percentage component.</x:v>
      </x:c>
    </x:row>
    <x:row r="13" ht="42" customHeight="1">
      <x:c r="A13" s="59" t="str">
        <x:v>Duplicate copies</x:v>
      </x:c>
      <x:c r="B13" s="57" t="str">
        <x:v>Optional diminishing multiplier by copy</x:v>
      </x:c>
      <x:c r="C13" s="57" t="str">
        <x:v>Extra safety if four copies become mandatory.</x:v>
      </x:c>
      <x:c r="D13" s="57" t="str">
        <x:v>Start at 100%; add 90/80/70% only if testing requires it.</x:v>
      </x:c>
    </x:row>
    <x:row r="14" ht="42" customHeight="1">
      <x:c r="A14" s="59" t="str">
        <x:v>Kill rule</x:v>
      </x:c>
      <x:c r="B14" s="57" t="str">
        <x:v>Flat damage may finish; percentage component may stop at 1 HP</x:v>
      </x:c>
      <x:c r="C14" s="57" t="str">
        <x:v>Makes weapon swapping meaningful.</x:v>
      </x:c>
      <x:c r="D14" s="57" t="str">
        <x:v>Optional, depending on desired feel.</x:v>
      </x:c>
    </x:row>
    <x:row r="15" ht="42" customHeight="1">
      <x:c r="A15" s="59" t="str">
        <x:v>Validation</x:v>
      </x:c>
      <x:c r="B15" s="57" t="str">
        <x:v>Test capped and uncapped discrete simulation</x:v>
      </x:c>
      <x:c r="C15" s="57" t="str">
        <x:v>Continuous equations are approximations when cap/volleys matter.</x:v>
      </x:c>
      <x:c r="D15" s="57" t="str">
        <x:v>Test boss HP tiers, normal mobs, crits, buffs, and four-copy stacking.</x:v>
      </x:c>
    </x:row>
  </x:sheetData>
  <x:mergeCells>
    <x:mergeCell ref="A1:D1"/>
  </x:mergeCells>
  <x:pageMargins left="0.7" right="0.7" top="0.75" bottom="0.75" header="0.3" footer="0.3"/>
</x:worksheet>
</file>